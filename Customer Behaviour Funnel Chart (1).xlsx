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  <sheet state="visible" name="Sheet2" sheetId="2" r:id="rId5"/>
  </sheets>
  <definedNames>
    <definedName name="_xlchart.v2.52">Sheet1!$E$48</definedName>
    <definedName name="_xlchart.v2.54">Sheet1!$F$48</definedName>
    <definedName name="_xlchart.v2.42">Sheet1!$F$49:$F$54</definedName>
    <definedName name="_xlchart.v2.47">Sheet1!$I$48</definedName>
    <definedName name="_xlchart.v2.62">Sheet1!$B$21:$B$26</definedName>
    <definedName name="_xlchart.v2.17">Sheet1!$D$21:$D$26</definedName>
    <definedName name="_xlchart.v2.78">Sheet1!$I$20</definedName>
    <definedName name="_xlchart.v2.77">Sheet1!$H$21:$H$26</definedName>
    <definedName name="_xlchart.v2.43">Sheet1!$G$48</definedName>
    <definedName name="_xlchart.v2.19">Sheet1!$E$48</definedName>
    <definedName name="_xlchart.v2.37">Sheet1!$D$48</definedName>
    <definedName name="_xlchart.v2.79">Sheet1!$I$21:$I$26</definedName>
    <definedName name="_xlchart.v2.33">Sheet1!$D$2:$D$6</definedName>
    <definedName name="_xlchart.v2.15">Sheet1!$B$21:$B$26</definedName>
    <definedName name="_xlchart.v2.23">Sheet1!$G$48</definedName>
    <definedName name="_xlchart.v2.40">Sheet1!$E$49:$E$54</definedName>
    <definedName name="_xlchart.v2.22">Sheet1!$F$49:$F$54</definedName>
    <definedName name="_xlchart.v2.20">Sheet1!$E$49:$E$54</definedName>
    <definedName name="_xlchart.v2.66">Sheet1!$C$20</definedName>
    <definedName name="_xlchart.v2.69">Sheet1!$D$21:$D$26</definedName>
    <definedName name="_xlchart.v2.9">Sheet1!$G$20</definedName>
    <definedName name="_xlchart.v2.71">Sheet1!$E$21:$E$26</definedName>
    <definedName name="_xlchart.v2.74">Sheet1!$G$20</definedName>
    <definedName name="_xlchart.v2.75">Sheet1!$G$21:$G$26</definedName>
    <definedName name="_xlchart.v2.72">Sheet1!$F$20</definedName>
    <definedName name="_xlchart.v2.73">Sheet1!$F$21:$F$26</definedName>
    <definedName name="_xlchart.v2.6">Sheet1!$E$21:$E$26</definedName>
    <definedName name="_xlchart.v2.59">Sheet1!$H$49:$H$54</definedName>
    <definedName name="_xlchart.v2.63">Sheet1!$I$20</definedName>
    <definedName name="_xlchart.v2.45">Sheet1!$H$48</definedName>
    <definedName name="_xlchart.v2.76">Sheet1!$H$20</definedName>
    <definedName name="_xlchart.v2.26">Sheet1!$H$49:$H$54</definedName>
    <definedName name="_xlchart.v2.36">Sheet1!$C$49:$C$54</definedName>
    <definedName name="_xlchart.v2.65">Sheet1!$A$21:$B$26</definedName>
    <definedName name="_xlchart.v2.13">Sheet1!$I$20</definedName>
    <definedName name="_xlchart.v2.12">Sheet1!$H$21:$H$26</definedName>
    <definedName name="_xlchart.v2.34">Sheet1!$B$49:$B$54</definedName>
    <definedName name="_xlchart.v2.67">Sheet1!$C$21:$C$26</definedName>
    <definedName name="_xlchart.v2.49">Sheet1!$A$49:$B$54</definedName>
    <definedName name="_xlchart.v2.57">Sheet1!$G$49:$G$54</definedName>
    <definedName name="_xlchart.v2.48">Sheet1!$I$49:$I$54</definedName>
    <definedName name="_xlchart.v2.58">Sheet1!$H$48</definedName>
    <definedName name="_xlchart.v2.53">Sheet1!$E$49:$E$54</definedName>
    <definedName name="_xlchart.v2.5">Sheet1!$E$20</definedName>
    <definedName name="_xlchart.v2.32">Sheet1!$D$1</definedName>
    <definedName name="_xlchart.v2.2">Sheet1!$C$21:$C$26</definedName>
    <definedName name="_xlchart.v2.0">Sheet1!$A$21:$B$26</definedName>
    <definedName name="_xlchart.v2.27">Sheet1!$I$48</definedName>
    <definedName name="_xlchart.v2.29">Sheet1!$A$2:$B$6</definedName>
    <definedName name="_xlchart.v2.16">Sheet1!$D$20</definedName>
    <definedName name="_xlchart.v2.55">Sheet1!$F$49:$F$54</definedName>
    <definedName name="_xlchart.v2.24">Sheet1!$G$49:$G$54</definedName>
    <definedName name="_xlchart.v2.46">Sheet1!$H$49:$H$54</definedName>
    <definedName name="_xlchart.v2.10">Sheet1!$G$21:$G$26</definedName>
    <definedName name="_xlchart.v2.14">Sheet1!$I$21:$I$26</definedName>
    <definedName name="_xlchart.v2.1">Sheet1!$C$20</definedName>
    <definedName name="_xlchart.v2.8">Sheet1!$F$21:$F$26</definedName>
    <definedName name="_xlchart.v2.25">Sheet1!$H$48</definedName>
    <definedName name="_xlchart.v2.41">Sheet1!$F$48</definedName>
    <definedName name="_xlchart.v2.28">Sheet1!$I$49:$I$54</definedName>
    <definedName name="_xlchart.v2.51">Sheet1!$D$49:$D$54</definedName>
    <definedName name="_xlchart.v2.39">Sheet1!$E$48</definedName>
    <definedName name="_xlchart.v2.18">Sheet1!$A$49:$B$54</definedName>
    <definedName name="_xlchart.v2.3">Sheet1!$D$20</definedName>
    <definedName name="_xlchart.v2.11">Sheet1!$H$20</definedName>
    <definedName name="_xlchart.v2.44">Sheet1!$G$49:$G$54</definedName>
    <definedName name="_xlchart.v2.60">Sheet1!$I$48</definedName>
    <definedName name="_xlchart.v2.35">Sheet1!$C$48</definedName>
    <definedName name="_xlchart.v2.70">Sheet1!$E$20</definedName>
    <definedName name="_xlchart.v2.4">Sheet1!$D$21:$D$26</definedName>
    <definedName name="_xlchart.v2.7">Sheet1!$F$20</definedName>
    <definedName name="_xlchart.v2.61">Sheet1!$I$49:$I$54</definedName>
    <definedName name="_xlchart.v2.38">Sheet1!$D$49:$D$54</definedName>
    <definedName name="_xlchart.v2.50">Sheet1!$D$48</definedName>
    <definedName name="_xlchart.v2.21">Sheet1!$F$48</definedName>
    <definedName name="_xlchart.v2.64">Sheet1!$I$21:$I$26</definedName>
    <definedName name="_xlchart.v2.68">Sheet1!$D$20</definedName>
    <definedName name="_xlchart.v2.30">Sheet1!$C$1</definedName>
    <definedName name="_xlchart.v2.56">Sheet1!$G$48</definedName>
    <definedName name="_xlchart.v2.31">Sheet1!$C$2:$C$6</definedName>
  </definedNames>
  <calcPr/>
  <extLst>
    <ext uri="GoogleSheetsCustomDataVersion2">
      <go:sheetsCustomData xmlns:go="http://customooxmlschemas.google.com/" r:id="rId6" roundtripDataChecksum="tScOMvVYqvCHRFyGUYS4XeCyVuRyBgUiV9fTkx1Bg0I="/>
    </ext>
  </extLst>
</workbook>
</file>

<file path=xl/sharedStrings.xml><?xml version="1.0" encoding="utf-8"?>
<sst xmlns="http://schemas.openxmlformats.org/spreadsheetml/2006/main" count="111" uniqueCount="95">
  <si>
    <t>Order_Events</t>
  </si>
  <si>
    <t>event_name</t>
  </si>
  <si>
    <t>unique_user_count</t>
  </si>
  <si>
    <t>Full_percent</t>
  </si>
  <si>
    <t>Session_Start</t>
  </si>
  <si>
    <t>View_Item</t>
  </si>
  <si>
    <t>Add_to_Cart</t>
  </si>
  <si>
    <t>Begin_Checkout</t>
  </si>
  <si>
    <t>Purchase</t>
  </si>
  <si>
    <t>Event Per Top 3 Country</t>
  </si>
  <si>
    <t>Event_Order</t>
  </si>
  <si>
    <t>event_Name</t>
  </si>
  <si>
    <t>United_State</t>
  </si>
  <si>
    <t>India</t>
  </si>
  <si>
    <t>Canada</t>
  </si>
  <si>
    <t>Full_Perc</t>
  </si>
  <si>
    <t>United_State_perc_Drop</t>
  </si>
  <si>
    <t>India_perc_Drop</t>
  </si>
  <si>
    <t>Canada_Perc_Drop</t>
  </si>
  <si>
    <t>session_start</t>
  </si>
  <si>
    <t>view_item</t>
  </si>
  <si>
    <t>add_to_cart</t>
  </si>
  <si>
    <t>begin_checkout</t>
  </si>
  <si>
    <t>add_payment_info</t>
  </si>
  <si>
    <t>purchase</t>
  </si>
  <si>
    <t>Events Per Category</t>
  </si>
  <si>
    <t>Event_Name</t>
  </si>
  <si>
    <t>Desktop</t>
  </si>
  <si>
    <t>Mobile</t>
  </si>
  <si>
    <t>Tablet</t>
  </si>
  <si>
    <t>Desktop_Perc_Drop</t>
  </si>
  <si>
    <t>Mobile_Perc_Drop</t>
  </si>
  <si>
    <t>Tablet_Perc_Drop</t>
  </si>
  <si>
    <t>Funnel Analysis Report: Customer Behavior Journey</t>
  </si>
  <si>
    <t>Objective</t>
  </si>
  <si>
    <t>To analyze how users progress through key stages of the e-commerce funnel  from landing on the website to completing a purchase  and uncover insights on conversion efficiency and areas of drop-off.</t>
  </si>
  <si>
    <t>Funnel Stage</t>
  </si>
  <si>
    <t>Unique Users</t>
  </si>
  <si>
    <t>% of Total Sessions</t>
  </si>
  <si>
    <t>% of Total Drop Off</t>
  </si>
  <si>
    <t>Conversion fron Previous Stage</t>
  </si>
  <si>
    <t>Drop-off from Previous Stage2</t>
  </si>
  <si>
    <t>-</t>
  </si>
  <si>
    <t>74% drop-off</t>
  </si>
  <si>
    <t>77.5% drop-off</t>
  </si>
  <si>
    <t>58.3% drop-off</t>
  </si>
  <si>
    <t>86.7% drop-off</t>
  </si>
  <si>
    <t>Stage-by-Stage Interpretation</t>
  </si>
  <si>
    <t>1. Session Start - View Item (26% Conversion, 74% Drop-Off)</t>
  </si>
  <si>
    <r>
      <rPr>
        <rFont val="Aptos Narrow"/>
        <color theme="1"/>
        <sz val="11.0"/>
      </rPr>
      <t xml:space="preserve">Only </t>
    </r>
    <r>
      <rPr>
        <rFont val="Aptos Narrow"/>
        <b/>
        <color theme="1"/>
        <sz val="11.0"/>
      </rPr>
      <t>26%</t>
    </r>
    <r>
      <rPr>
        <rFont val="Aptos Narrow"/>
        <color theme="1"/>
        <sz val="11.0"/>
      </rPr>
      <t xml:space="preserve"> of users who land on the site proceed to view a product.</t>
    </r>
  </si>
  <si>
    <r>
      <rPr>
        <rFont val="Aptos Narrow"/>
        <b/>
        <color theme="1"/>
        <sz val="11.0"/>
      </rPr>
      <t>Hypothesis:</t>
    </r>
    <r>
      <rPr>
        <rFont val="Aptos Narrow"/>
        <color theme="1"/>
        <sz val="11.0"/>
      </rPr>
      <t xml:space="preserve"> Users may be bouncing from the homepage due to: Lack of engaging content or poor UX</t>
    </r>
  </si>
  <si>
    <t>Irrelevant landing pages from ads or search and slow page load times</t>
  </si>
  <si>
    <t>Actionable Insight:</t>
  </si>
  <si>
    <t>Improve homepage layout and CTA (call to action), personalize landing pages, and ensure fast loading speeds.</t>
  </si>
  <si>
    <t>2. View Item - Add to Cart (22.5% Conversion, 77.5% Drop-Off)</t>
  </si>
  <si>
    <r>
      <rPr>
        <rFont val="Aptos Narrow"/>
        <color theme="1"/>
        <sz val="11.0"/>
      </rPr>
      <t xml:space="preserve">Of those viewing items, only </t>
    </r>
    <r>
      <rPr>
        <rFont val="Aptos Narrow"/>
        <b/>
        <color theme="1"/>
        <sz val="11.0"/>
      </rPr>
      <t>22.5%</t>
    </r>
    <r>
      <rPr>
        <rFont val="Aptos Narrow"/>
        <color theme="1"/>
        <sz val="11.0"/>
      </rPr>
      <t xml:space="preserve"> add something to their cart.</t>
    </r>
  </si>
  <si>
    <r>
      <rPr>
        <rFont val="Aptos Narrow"/>
        <b/>
        <color theme="1"/>
        <sz val="11.0"/>
      </rPr>
      <t>Hypothesis:</t>
    </r>
    <r>
      <rPr>
        <rFont val="Aptos Narrow"/>
        <b val="0"/>
        <color theme="1"/>
        <sz val="11.0"/>
      </rPr>
      <t xml:space="preserve"> The product page may not be persuasive enough.</t>
    </r>
  </si>
  <si>
    <t>1. Price may be too high or unclear</t>
  </si>
  <si>
    <t xml:space="preserve">      2.  Insufficient product descriptions or reviews</t>
  </si>
  <si>
    <t>3. Missing trust signals (e.g., return policy, payment security)</t>
  </si>
  <si>
    <t>Optimize product pages with social proof (reviews), price transparency, discounts, and trust badges.</t>
  </si>
  <si>
    <t>3. Add to Cart -Begin Checkout (41.7% Conversion, 58.3% Drop-Off)</t>
  </si>
  <si>
    <r>
      <rPr>
        <rFont val="Aptos Narrow"/>
        <color theme="1"/>
        <sz val="11.0"/>
      </rPr>
      <t xml:space="preserve">Nearly </t>
    </r>
    <r>
      <rPr>
        <rFont val="Aptos Narrow"/>
        <b/>
        <color theme="1"/>
        <sz val="11.0"/>
      </rPr>
      <t>42%</t>
    </r>
    <r>
      <rPr>
        <rFont val="Aptos Narrow"/>
        <color theme="1"/>
        <sz val="11.0"/>
      </rPr>
      <t xml:space="preserve"> of users who add items proceed to checkout.</t>
    </r>
  </si>
  <si>
    <r>
      <rPr>
        <rFont val="Aptos Narrow"/>
        <b/>
        <color theme="1"/>
        <sz val="11.0"/>
      </rPr>
      <t>Hypothesis:</t>
    </r>
    <r>
      <rPr>
        <rFont val="Aptos Narrow"/>
        <color theme="1"/>
        <sz val="11.0"/>
      </rPr>
      <t xml:space="preserve"> Cart abandonment is likely due to:</t>
    </r>
  </si>
  <si>
    <t>1. Unexpected shipping fees or taxes at checkout</t>
  </si>
  <si>
    <t>2. Complicated or slow checkout process</t>
  </si>
  <si>
    <t>Introduce guest checkout, show total cost early, and simplify checkout steps.</t>
  </si>
  <si>
    <t>4. Begin Checkout - Purchase (13.3% Conversion, 86.7% Drop-Off)</t>
  </si>
  <si>
    <r>
      <rPr>
        <rFont val="Aptos Narrow"/>
        <color theme="1"/>
        <sz val="11.0"/>
      </rPr>
      <t xml:space="preserve">Only </t>
    </r>
    <r>
      <rPr>
        <rFont val="Aptos Narrow"/>
        <b/>
        <color theme="1"/>
        <sz val="11.0"/>
      </rPr>
      <t>4</t>
    </r>
    <r>
      <rPr>
        <rFont val="Aptos Narrow"/>
        <color theme="1"/>
        <sz val="11.0"/>
      </rPr>
      <t xml:space="preserve"> users complete a purchase out of </t>
    </r>
    <r>
      <rPr>
        <rFont val="Aptos Narrow"/>
        <b/>
        <color theme="1"/>
        <sz val="11.0"/>
      </rPr>
      <t>30</t>
    </r>
    <r>
      <rPr>
        <rFont val="Aptos Narrow"/>
        <color theme="1"/>
        <sz val="11.0"/>
      </rPr>
      <t xml:space="preserve"> who began checkout.</t>
    </r>
  </si>
  <si>
    <r>
      <rPr>
        <rFont val="Aptos Narrow"/>
        <b/>
        <color theme="1"/>
        <sz val="11.0"/>
      </rPr>
      <t>Hypothesis:</t>
    </r>
    <r>
      <rPr>
        <rFont val="Aptos Narrow"/>
        <color theme="1"/>
        <sz val="11.0"/>
      </rPr>
      <t xml:space="preserve"> Major friction at payment stage.</t>
    </r>
  </si>
  <si>
    <t>1. Limited payment options</t>
  </si>
  <si>
    <t>2. Trust issues (site feels insecure)</t>
  </si>
  <si>
    <t>3. Technical failures during transaction</t>
  </si>
  <si>
    <t>Improve payment gateway reliability, offer multiple payment methods, and show security assurance (SSL, verified payment badges)</t>
  </si>
  <si>
    <t>Recommendations</t>
  </si>
  <si>
    <t>1. Boost First Engagement:</t>
  </si>
  <si>
    <t xml:space="preserve">       Test new landing page designs </t>
  </si>
  <si>
    <t xml:space="preserve">        Align ad messaging with landing page content</t>
  </si>
  <si>
    <t>2. Enhance Product Discovery:</t>
  </si>
  <si>
    <t xml:space="preserve">    Improve search functionality and product filtering</t>
  </si>
  <si>
    <t xml:space="preserve">    Use personalized recommendations based on behavior</t>
  </si>
  <si>
    <t>3. Reduce Cart Abandonment:</t>
  </si>
  <si>
    <t xml:space="preserve">     Offer real-time cart reminders</t>
  </si>
  <si>
    <t xml:space="preserve">        Provide clear, upfront shipping and total cost</t>
  </si>
  <si>
    <t>4. Secure the Checkout Experience:</t>
  </si>
  <si>
    <t xml:space="preserve">        Add trust signals, minimize form fields, and show customer service support during payment</t>
  </si>
  <si>
    <t>Conclusion</t>
  </si>
  <si>
    <r>
      <rPr>
        <rFont val="Aptos Narrow"/>
        <color theme="1"/>
      </rPr>
      <t xml:space="preserve">Geographically, users from the </t>
    </r>
    <r>
      <rPr>
        <rFont val="Aptos Narrow"/>
        <b/>
        <color theme="1"/>
        <sz val="11.0"/>
      </rPr>
      <t>United States</t>
    </r>
    <r>
      <rPr>
        <rFont val="Aptos Narrow"/>
        <color theme="1"/>
        <sz val="11.0"/>
      </rPr>
      <t xml:space="preserve"> dominate the funnel in both volume and conversion, reflecting more engaged user base. </t>
    </r>
    <r>
      <rPr>
        <rFont val="Aptos Narrow"/>
        <b/>
        <color theme="1"/>
        <sz val="11.0"/>
      </rPr>
      <t>India and Canada</t>
    </r>
    <r>
      <rPr>
        <rFont val="Aptos Narrow"/>
        <color theme="1"/>
        <sz val="11.0"/>
      </rPr>
      <t xml:space="preserve">, while contributing to early funnel </t>
    </r>
  </si>
  <si>
    <t xml:space="preserve">stages, show relatively higher drop-offs at critical points like checkout and payment, suggesting potential friction points such as payment infrastructure, delivery options, or user trust. The complete </t>
  </si>
  <si>
    <t>drop-off at the purchase stage in India is a red flag that calls for targeted investigation, possibly around localization, trust signals, or currency/payment support.</t>
  </si>
  <si>
    <r>
      <rPr>
        <rFont val="Aptos Narrow"/>
        <color theme="1"/>
      </rPr>
      <t xml:space="preserve">From the device perspective, </t>
    </r>
    <r>
      <rPr>
        <rFont val="Aptos Narrow"/>
        <b/>
        <color theme="1"/>
        <sz val="11.0"/>
      </rPr>
      <t>desktop users consistently represent the highest engagement and conversion at each funnel stage</t>
    </r>
    <r>
      <rPr>
        <rFont val="Aptos Narrow"/>
        <color theme="1"/>
        <sz val="11.0"/>
      </rPr>
      <t xml:space="preserve">, contributing the majority of transactions. Although </t>
    </r>
    <r>
      <rPr>
        <rFont val="Aptos Narrow"/>
        <b/>
        <color theme="1"/>
        <sz val="11.0"/>
      </rPr>
      <t>mobile users</t>
    </r>
    <r>
      <rPr>
        <rFont val="Aptos Narrow"/>
        <color theme="1"/>
        <sz val="11.0"/>
      </rPr>
      <t xml:space="preserve"> </t>
    </r>
  </si>
  <si>
    <t xml:space="preserve">form a significant portion of session starts, their drop-off rates increase sharply toward the checkout and purchase stages, suggesting potential usability or trust issues on smaller screens. Tablet </t>
  </si>
  <si>
    <t>users, while being the smallest group, show an even steeper drop-off, indicating that this category may require optimization or is simply not a preferred shopping medium.</t>
  </si>
  <si>
    <r>
      <rPr>
        <rFont val="Aptos Narrow"/>
        <color theme="1"/>
      </rPr>
      <t xml:space="preserve">In summary, these findings underline the importance of device-specific and region-specific funnel optimization strategies. Prioritizing </t>
    </r>
    <r>
      <rPr>
        <rFont val="Aptos Narrow"/>
        <b/>
        <color theme="1"/>
        <sz val="11.0"/>
      </rPr>
      <t>mobile experience</t>
    </r>
    <r>
      <rPr>
        <rFont val="Aptos Narrow"/>
        <color theme="1"/>
        <sz val="11.0"/>
      </rPr>
      <t xml:space="preserve"> enhancements and </t>
    </r>
    <r>
      <rPr>
        <rFont val="Aptos Narrow"/>
        <b/>
        <color theme="1"/>
        <sz val="11.0"/>
      </rPr>
      <t xml:space="preserve">localized features for </t>
    </r>
  </si>
  <si>
    <t>international users could significantly improve conversion rates and overall customer satisfaction.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</si>
</sst>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5">
    <font>
      <sz val="11.0"/>
      <color theme="1"/>
      <name val="Aptos Narrow"/>
      <scheme val="minor"/>
    </font>
    <font>
      <color rgb="FFFFFFFF"/>
      <name val="Aptos Narrow"/>
      <scheme val="minor"/>
    </font>
    <font>
      <color theme="1"/>
      <name val="Aptos Narrow"/>
      <scheme val="minor"/>
    </font>
    <font>
      <sz val="11.0"/>
      <color theme="1"/>
      <name val="Aptos Narrow"/>
    </font>
    <font>
      <sz val="16.0"/>
      <color theme="1"/>
      <name val="Aptos Narrow"/>
    </font>
    <font>
      <sz val="11.0"/>
      <color theme="0"/>
      <name val="Calibri"/>
    </font>
    <font>
      <sz val="11.0"/>
      <color rgb="FF000000"/>
      <name val="Calibri"/>
    </font>
    <font>
      <sz val="14.0"/>
      <color theme="1"/>
      <name val="Aptos Narrow"/>
    </font>
    <font>
      <sz val="12.0"/>
      <color theme="1"/>
      <name val="Aptos Narrow"/>
    </font>
    <font>
      <b/>
      <sz val="11.0"/>
      <color theme="1"/>
      <name val="Aptos Narrow"/>
    </font>
    <font>
      <b/>
      <sz val="11.0"/>
      <color theme="0"/>
      <name val="Aptos Narrow"/>
    </font>
    <font>
      <b/>
      <sz val="11.0"/>
      <color theme="0"/>
      <name val="Calibri"/>
    </font>
    <font>
      <b/>
      <sz val="14.0"/>
      <color theme="1"/>
      <name val="Aptos Narrow"/>
    </font>
    <font>
      <b/>
      <sz val="13.0"/>
      <color theme="1"/>
      <name val="Aptos Narrow"/>
    </font>
    <font>
      <b/>
      <sz val="12.0"/>
      <color theme="1"/>
      <name val="Aptos Narrow"/>
    </font>
  </fonts>
  <fills count="7">
    <fill>
      <patternFill patternType="none"/>
    </fill>
    <fill>
      <patternFill patternType="lightGray"/>
    </fill>
    <fill>
      <patternFill patternType="solid">
        <fgColor rgb="FF4D94D8"/>
        <bgColor rgb="FF4D94D8"/>
      </patternFill>
    </fill>
    <fill>
      <patternFill patternType="solid">
        <fgColor theme="0"/>
        <bgColor theme="0"/>
      </patternFill>
    </fill>
    <fill>
      <patternFill patternType="solid">
        <fgColor theme="5"/>
        <bgColor theme="5"/>
      </patternFill>
    </fill>
    <fill>
      <patternFill patternType="solid">
        <fgColor rgb="FFF6C6AC"/>
        <bgColor rgb="FFF6C6AC"/>
      </patternFill>
    </fill>
    <fill>
      <patternFill patternType="solid">
        <fgColor rgb="FFFAE2D5"/>
        <bgColor rgb="FFFAE2D5"/>
      </patternFill>
    </fill>
  </fills>
  <borders count="7">
    <border/>
    <border>
      <left/>
      <right/>
      <top/>
      <bottom/>
    </border>
    <border>
      <left style="thin">
        <color theme="0"/>
      </left>
      <right/>
      <top/>
      <bottom/>
    </border>
    <border>
      <left/>
      <right/>
      <top style="thick">
        <color theme="0"/>
      </top>
      <bottom/>
    </border>
    <border>
      <left style="thin">
        <color theme="0"/>
      </left>
      <right/>
      <top style="thick">
        <color theme="0"/>
      </top>
      <bottom/>
    </border>
    <border>
      <left/>
      <right/>
      <top style="thin">
        <color theme="0"/>
      </top>
      <bottom/>
    </border>
    <border>
      <left style="thin">
        <color theme="0"/>
      </left>
      <right/>
      <top style="thin">
        <color theme="0"/>
      </top>
      <bottom/>
    </border>
  </borders>
  <cellStyleXfs count="1">
    <xf borderId="0" fillId="0" fontId="0" numFmtId="0" applyAlignment="1" applyFont="1"/>
  </cellStyleXfs>
  <cellXfs count="40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Font="1"/>
    <xf borderId="0" fillId="0" fontId="3" numFmtId="9" xfId="0" applyFont="1" applyNumberFormat="1"/>
    <xf borderId="0" fillId="0" fontId="3" numFmtId="10" xfId="0" applyFont="1" applyNumberFormat="1"/>
    <xf borderId="1" fillId="2" fontId="4" numFmtId="0" xfId="0" applyBorder="1" applyFill="1" applyFont="1"/>
    <xf borderId="1" fillId="2" fontId="3" numFmtId="0" xfId="0" applyBorder="1" applyFont="1"/>
    <xf borderId="0" fillId="0" fontId="5" numFmtId="0" xfId="0" applyAlignment="1" applyFont="1">
      <alignment vertical="center"/>
    </xf>
    <xf borderId="0" fillId="0" fontId="6" numFmtId="0" xfId="0" applyAlignment="1" applyFont="1">
      <alignment vertical="center"/>
    </xf>
    <xf borderId="1" fillId="3" fontId="7" numFmtId="0" xfId="0" applyBorder="1" applyFill="1" applyFont="1"/>
    <xf borderId="1" fillId="3" fontId="8" numFmtId="0" xfId="0" applyBorder="1" applyFont="1"/>
    <xf borderId="1" fillId="3" fontId="3" numFmtId="0" xfId="0" applyBorder="1" applyFont="1"/>
    <xf borderId="0" fillId="0" fontId="9" numFmtId="0" xfId="0" applyFont="1"/>
    <xf borderId="1" fillId="4" fontId="10" numFmtId="0" xfId="0" applyBorder="1" applyFill="1" applyFont="1"/>
    <xf borderId="2" fillId="4" fontId="11" numFmtId="0" xfId="0" applyAlignment="1" applyBorder="1" applyFont="1">
      <alignment vertical="center"/>
    </xf>
    <xf borderId="3" fillId="5" fontId="3" numFmtId="0" xfId="0" applyBorder="1" applyFill="1" applyFont="1"/>
    <xf borderId="4" fillId="5" fontId="6" numFmtId="0" xfId="0" applyAlignment="1" applyBorder="1" applyFont="1">
      <alignment vertical="center"/>
    </xf>
    <xf borderId="4" fillId="5" fontId="3" numFmtId="9" xfId="0" applyBorder="1" applyFont="1" applyNumberFormat="1"/>
    <xf borderId="5" fillId="6" fontId="3" numFmtId="0" xfId="0" applyBorder="1" applyFill="1" applyFont="1"/>
    <xf borderId="6" fillId="6" fontId="6" numFmtId="0" xfId="0" applyAlignment="1" applyBorder="1" applyFont="1">
      <alignment vertical="center"/>
    </xf>
    <xf borderId="5" fillId="5" fontId="3" numFmtId="0" xfId="0" applyBorder="1" applyFont="1"/>
    <xf borderId="6" fillId="5" fontId="6" numFmtId="0" xfId="0" applyAlignment="1" applyBorder="1" applyFont="1">
      <alignment vertical="center"/>
    </xf>
    <xf borderId="4" fillId="5" fontId="3" numFmtId="10" xfId="0" applyBorder="1" applyFont="1" applyNumberFormat="1"/>
    <xf borderId="0" fillId="0" fontId="12" numFmtId="0" xfId="0" applyFont="1"/>
    <xf borderId="0" fillId="0" fontId="13" numFmtId="0" xfId="0" applyAlignment="1" applyFont="1">
      <alignment vertical="center"/>
    </xf>
    <xf borderId="0" fillId="0" fontId="3" numFmtId="0" xfId="0" applyAlignment="1" applyFont="1">
      <alignment horizontal="left"/>
    </xf>
    <xf borderId="0" fillId="0" fontId="9" numFmtId="0" xfId="0" applyAlignment="1" applyFont="1">
      <alignment horizontal="center" shrinkToFit="0" vertical="center" wrapText="1"/>
    </xf>
    <xf borderId="0" fillId="0" fontId="3" numFmtId="0" xfId="0" applyAlignment="1" applyFont="1">
      <alignment shrinkToFit="0" vertical="center" wrapText="1"/>
    </xf>
    <xf borderId="0" fillId="0" fontId="3" numFmtId="3" xfId="0" applyAlignment="1" applyFont="1" applyNumberFormat="1">
      <alignment shrinkToFit="0" vertical="center" wrapText="1"/>
    </xf>
    <xf borderId="0" fillId="0" fontId="3" numFmtId="9" xfId="0" applyAlignment="1" applyFont="1" applyNumberFormat="1">
      <alignment shrinkToFit="0" vertical="center" wrapText="1"/>
    </xf>
    <xf borderId="0" fillId="0" fontId="9" numFmtId="9" xfId="0" applyFont="1" applyNumberFormat="1"/>
    <xf borderId="0" fillId="0" fontId="9" numFmtId="0" xfId="0" applyAlignment="1" applyFont="1">
      <alignment shrinkToFit="0" vertical="center" wrapText="1"/>
    </xf>
    <xf borderId="0" fillId="0" fontId="3" numFmtId="10" xfId="0" applyAlignment="1" applyFont="1" applyNumberFormat="1">
      <alignment shrinkToFit="0" vertical="center" wrapText="1"/>
    </xf>
    <xf borderId="0" fillId="0" fontId="9" numFmtId="10" xfId="0" applyFont="1" applyNumberFormat="1"/>
    <xf borderId="0" fillId="0" fontId="14" numFmtId="0" xfId="0" applyFont="1"/>
    <xf borderId="0" fillId="0" fontId="14" numFmtId="0" xfId="0" applyAlignment="1" applyFont="1">
      <alignment vertical="center"/>
    </xf>
    <xf borderId="0" fillId="0" fontId="14" numFmtId="0" xfId="0" applyAlignment="1" applyFont="1">
      <alignment horizontal="left" vertical="center"/>
    </xf>
    <xf borderId="0" fillId="0" fontId="3" numFmtId="0" xfId="0" applyAlignment="1" applyFont="1">
      <alignment horizontal="left" vertical="center"/>
    </xf>
    <xf borderId="0" fillId="0" fontId="9" numFmtId="0" xfId="0" applyAlignment="1" applyFont="1">
      <alignment horizontal="left" vertical="center"/>
    </xf>
    <xf borderId="0" fillId="0" fontId="2" numFmtId="0" xfId="0" applyFont="1"/>
  </cellXfs>
  <cellStyles count="1">
    <cellStyle xfId="0" name="Normal" builtinId="0"/>
  </cellStyles>
  <dxfs count="6">
    <dxf>
      <font/>
      <fill>
        <patternFill patternType="none"/>
      </fill>
      <border/>
    </dxf>
    <dxf>
      <font/>
      <fill>
        <patternFill patternType="solid">
          <fgColor theme="4"/>
          <bgColor theme="4"/>
        </patternFill>
      </fill>
      <border/>
    </dxf>
    <dxf>
      <font/>
      <fill>
        <patternFill patternType="solid">
          <fgColor rgb="FFC1E4F5"/>
          <bgColor rgb="FFC1E4F5"/>
        </patternFill>
      </fill>
      <border/>
    </dxf>
    <dxf>
      <font/>
      <fill>
        <patternFill patternType="solid">
          <fgColor theme="0"/>
          <bgColor theme="0"/>
        </patternFill>
      </fill>
      <border/>
    </dxf>
    <dxf>
      <font/>
      <fill>
        <patternFill patternType="solid">
          <fgColor rgb="FF83CAEB"/>
          <bgColor rgb="FF83CAEB"/>
        </patternFill>
      </fill>
      <border/>
    </dxf>
    <dxf>
      <font/>
      <fill>
        <patternFill patternType="solid">
          <fgColor rgb="FFD8D8D8"/>
          <bgColor rgb="FFD8D8D8"/>
        </patternFill>
      </fill>
      <border/>
    </dxf>
  </dxfs>
  <tableStyles count="3">
    <tableStyle count="3" pivot="0" name="Sheet1-style">
      <tableStyleElement dxfId="1" type="headerRow"/>
      <tableStyleElement dxfId="2" type="firstRowStripe"/>
      <tableStyleElement dxfId="3" type="secondRowStripe"/>
    </tableStyle>
    <tableStyle count="3" pivot="0" name="Sheet1-style 2">
      <tableStyleElement dxfId="1" type="headerRow"/>
      <tableStyleElement dxfId="4" type="firstRowStripe"/>
      <tableStyleElement dxfId="2" type="secondRowStripe"/>
    </tableStyle>
    <tableStyle count="3" pivot="0" name="Sheet2-style">
      <tableStyleElement dxfId="3" type="headerRow"/>
      <tableStyleElement dxfId="5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D6" displayName="Table_1" name="Table_1" id="1">
  <tableColumns count="4">
    <tableColumn name="Order_Events" id="1"/>
    <tableColumn name="event_name" id="2"/>
    <tableColumn name="unique_user_count" id="3"/>
    <tableColumn name="Full_percent" id="4"/>
  </tableColumns>
  <tableStyleInfo name="Sheet1-style" showColumnStripes="0" showFirstColumn="1" showLastColumn="1" showRowStripes="1"/>
</table>
</file>

<file path=xl/tables/table2.xml><?xml version="1.0" encoding="utf-8"?>
<table xmlns="http://schemas.openxmlformats.org/spreadsheetml/2006/main" ref="A20:I26" displayName="Table_2" name="Table_2" id="2">
  <tableColumns count="9">
    <tableColumn name="Event_Order" id="1"/>
    <tableColumn name="event_Name" id="2"/>
    <tableColumn name="United_State" id="3"/>
    <tableColumn name="India" id="4"/>
    <tableColumn name="Canada" id="5"/>
    <tableColumn name="Full_Perc" id="6"/>
    <tableColumn name="United_State_perc_Drop" id="7"/>
    <tableColumn name="India_perc_Drop" id="8"/>
    <tableColumn name="Canada_Perc_Drop" id="9"/>
  </tableColumns>
  <tableStyleInfo name="Sheet1-style 2" showColumnStripes="0" showFirstColumn="1" showLastColumn="1" showRowStripes="1"/>
</table>
</file>

<file path=xl/tables/table3.xml><?xml version="1.0" encoding="utf-8"?>
<table xmlns="http://schemas.openxmlformats.org/spreadsheetml/2006/main" ref="B6:G11" displayName="Table_3" name="Table_3" id="3">
  <tableColumns count="6">
    <tableColumn name="Funnel Stage" id="1"/>
    <tableColumn name="Unique Users" id="2"/>
    <tableColumn name="% of Total Sessions" id="3"/>
    <tableColumn name="% of Total Drop Off" id="4"/>
    <tableColumn name="Conversion fron Previous Stage" id="5"/>
    <tableColumn name="Drop-off from Previous Stage2" id="6"/>
  </tableColumns>
  <tableStyleInfo name="Sheet2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4" Type="http://schemas.openxmlformats.org/officeDocument/2006/relationships/table" Target="../tables/table1.xml"/><Relationship Id="rId5" Type="http://schemas.openxmlformats.org/officeDocument/2006/relationships/table" Target="../tables/table2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3.88"/>
    <col customWidth="1" min="2" max="2" width="17.38"/>
    <col customWidth="1" min="3" max="3" width="18.88"/>
    <col customWidth="1" min="4" max="4" width="10.5"/>
    <col customWidth="1" min="5" max="5" width="13.25"/>
    <col customWidth="1" min="6" max="6" width="10.38"/>
    <col customWidth="1" min="7" max="7" width="23.63"/>
    <col customWidth="1" min="8" max="8" width="18.5"/>
    <col customWidth="1" min="9" max="9" width="18.88"/>
    <col customWidth="1" min="10" max="26" width="8.63"/>
  </cols>
  <sheetData>
    <row r="1" ht="14.25" customHeight="1">
      <c r="A1" s="1" t="s">
        <v>0</v>
      </c>
      <c r="B1" s="1" t="s">
        <v>1</v>
      </c>
      <c r="C1" s="1" t="s">
        <v>2</v>
      </c>
      <c r="D1" s="1" t="s">
        <v>3</v>
      </c>
    </row>
    <row r="2" ht="14.25" customHeight="1">
      <c r="A2" s="2">
        <v>1.0</v>
      </c>
      <c r="B2" s="2" t="s">
        <v>4</v>
      </c>
      <c r="C2" s="2">
        <v>1208.0</v>
      </c>
      <c r="D2" s="3">
        <f t="shared" ref="D2:D6" si="1">C2/C$2</f>
        <v>1</v>
      </c>
    </row>
    <row r="3" ht="14.25" customHeight="1">
      <c r="A3" s="2">
        <v>2.0</v>
      </c>
      <c r="B3" s="2" t="s">
        <v>5</v>
      </c>
      <c r="C3" s="2">
        <v>320.0</v>
      </c>
      <c r="D3" s="3">
        <f t="shared" si="1"/>
        <v>0.2649006623</v>
      </c>
    </row>
    <row r="4" ht="14.25" customHeight="1">
      <c r="A4" s="2">
        <v>3.0</v>
      </c>
      <c r="B4" s="2" t="s">
        <v>6</v>
      </c>
      <c r="C4" s="2">
        <v>72.0</v>
      </c>
      <c r="D4" s="3">
        <f t="shared" si="1"/>
        <v>0.05960264901</v>
      </c>
    </row>
    <row r="5" ht="14.25" customHeight="1">
      <c r="A5" s="2">
        <v>4.0</v>
      </c>
      <c r="B5" s="2" t="s">
        <v>7</v>
      </c>
      <c r="C5" s="2">
        <v>30.0</v>
      </c>
      <c r="D5" s="3">
        <f t="shared" si="1"/>
        <v>0.02483443709</v>
      </c>
    </row>
    <row r="6" ht="14.25" customHeight="1">
      <c r="A6" s="2">
        <v>5.0</v>
      </c>
      <c r="B6" s="2" t="s">
        <v>8</v>
      </c>
      <c r="C6" s="2">
        <v>4.0</v>
      </c>
      <c r="D6" s="4">
        <f t="shared" si="1"/>
        <v>0.003311258278</v>
      </c>
    </row>
    <row r="7" ht="14.25" customHeight="1"/>
    <row r="8" ht="14.25" customHeight="1"/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>
      <c r="D19" s="5" t="s">
        <v>9</v>
      </c>
      <c r="E19" s="6"/>
      <c r="F19" s="6"/>
    </row>
    <row r="20" ht="14.25" customHeight="1">
      <c r="A20" s="1" t="s">
        <v>10</v>
      </c>
      <c r="B20" s="7" t="s">
        <v>11</v>
      </c>
      <c r="C20" s="7" t="s">
        <v>12</v>
      </c>
      <c r="D20" s="7" t="s">
        <v>13</v>
      </c>
      <c r="E20" s="7" t="s">
        <v>14</v>
      </c>
      <c r="F20" s="7" t="s">
        <v>15</v>
      </c>
      <c r="G20" s="7" t="s">
        <v>16</v>
      </c>
      <c r="H20" s="7" t="s">
        <v>17</v>
      </c>
      <c r="I20" s="7" t="s">
        <v>18</v>
      </c>
    </row>
    <row r="21" ht="14.25" customHeight="1">
      <c r="A21" s="2">
        <v>1.0</v>
      </c>
      <c r="B21" s="8" t="s">
        <v>19</v>
      </c>
      <c r="C21" s="8">
        <v>537.0</v>
      </c>
      <c r="D21" s="8">
        <v>109.0</v>
      </c>
      <c r="E21" s="8">
        <v>82.0</v>
      </c>
      <c r="F21" s="3">
        <f t="shared" ref="F21:F26" si="3">SUM(C21:E21)/SUM(C$21:E$21)</f>
        <v>1</v>
      </c>
      <c r="G21" s="3">
        <f t="shared" ref="G21:G26" si="4">C21/$C$21</f>
        <v>1</v>
      </c>
      <c r="H21" s="3">
        <f t="shared" ref="H21:I21" si="2">D21/D$21</f>
        <v>1</v>
      </c>
      <c r="I21" s="3">
        <f t="shared" si="2"/>
        <v>1</v>
      </c>
    </row>
    <row r="22" ht="14.25" customHeight="1">
      <c r="A22" s="2">
        <v>2.0</v>
      </c>
      <c r="B22" s="8" t="s">
        <v>20</v>
      </c>
      <c r="C22" s="8">
        <v>140.0</v>
      </c>
      <c r="D22" s="8">
        <v>29.0</v>
      </c>
      <c r="E22" s="8">
        <v>24.0</v>
      </c>
      <c r="F22" s="3">
        <f t="shared" si="3"/>
        <v>0.2651098901</v>
      </c>
      <c r="G22" s="3">
        <f t="shared" si="4"/>
        <v>0.260707635</v>
      </c>
      <c r="H22" s="3">
        <f t="shared" ref="H22:I22" si="5">D22/D$21</f>
        <v>0.2660550459</v>
      </c>
      <c r="I22" s="3">
        <f t="shared" si="5"/>
        <v>0.2926829268</v>
      </c>
    </row>
    <row r="23" ht="14.25" customHeight="1">
      <c r="A23" s="2">
        <v>3.0</v>
      </c>
      <c r="B23" s="8" t="s">
        <v>21</v>
      </c>
      <c r="C23" s="8">
        <v>29.0</v>
      </c>
      <c r="D23" s="8">
        <v>6.0</v>
      </c>
      <c r="E23" s="8">
        <v>4.0</v>
      </c>
      <c r="F23" s="3">
        <f t="shared" si="3"/>
        <v>0.05357142857</v>
      </c>
      <c r="G23" s="3">
        <f t="shared" si="4"/>
        <v>0.05400372439</v>
      </c>
      <c r="H23" s="3">
        <f t="shared" ref="H23:I23" si="6">D23/D$21</f>
        <v>0.05504587156</v>
      </c>
      <c r="I23" s="3">
        <f t="shared" si="6"/>
        <v>0.0487804878</v>
      </c>
    </row>
    <row r="24" ht="14.25" customHeight="1">
      <c r="A24" s="2">
        <v>4.0</v>
      </c>
      <c r="B24" s="8" t="s">
        <v>22</v>
      </c>
      <c r="C24" s="8">
        <v>13.0</v>
      </c>
      <c r="D24" s="8">
        <v>3.0</v>
      </c>
      <c r="E24" s="8">
        <v>3.0</v>
      </c>
      <c r="F24" s="3">
        <f t="shared" si="3"/>
        <v>0.0260989011</v>
      </c>
      <c r="G24" s="3">
        <f t="shared" si="4"/>
        <v>0.02420856611</v>
      </c>
      <c r="H24" s="3">
        <f t="shared" ref="H24:I24" si="7">D24/D$21</f>
        <v>0.02752293578</v>
      </c>
      <c r="I24" s="3">
        <f t="shared" si="7"/>
        <v>0.03658536585</v>
      </c>
    </row>
    <row r="25" ht="14.25" customHeight="1">
      <c r="A25" s="2">
        <v>5.0</v>
      </c>
      <c r="B25" s="8" t="s">
        <v>23</v>
      </c>
      <c r="C25" s="8">
        <v>5.0</v>
      </c>
      <c r="D25" s="8">
        <v>4.0</v>
      </c>
      <c r="E25" s="8">
        <v>3.0</v>
      </c>
      <c r="F25" s="3">
        <f t="shared" si="3"/>
        <v>0.01648351648</v>
      </c>
      <c r="G25" s="3">
        <f t="shared" si="4"/>
        <v>0.009310986965</v>
      </c>
      <c r="H25" s="3">
        <f t="shared" ref="H25:I25" si="8">D25/D$21</f>
        <v>0.03669724771</v>
      </c>
      <c r="I25" s="3">
        <f t="shared" si="8"/>
        <v>0.03658536585</v>
      </c>
    </row>
    <row r="26" ht="14.25" customHeight="1">
      <c r="A26" s="2">
        <v>6.0</v>
      </c>
      <c r="B26" s="8" t="s">
        <v>24</v>
      </c>
      <c r="C26" s="8">
        <v>3.0</v>
      </c>
      <c r="D26" s="8">
        <v>0.0</v>
      </c>
      <c r="E26" s="8">
        <v>1.0</v>
      </c>
      <c r="F26" s="3">
        <f t="shared" si="3"/>
        <v>0.005494505495</v>
      </c>
      <c r="G26" s="3">
        <f t="shared" si="4"/>
        <v>0.005586592179</v>
      </c>
      <c r="H26" s="3">
        <f t="shared" ref="H26:I26" si="9">D26/D$21</f>
        <v>0</v>
      </c>
      <c r="I26" s="3">
        <f t="shared" si="9"/>
        <v>0.01219512195</v>
      </c>
    </row>
    <row r="27" ht="14.25" customHeight="1"/>
    <row r="28" ht="14.25" customHeight="1"/>
    <row r="29" ht="14.25" customHeight="1">
      <c r="D29" s="9"/>
      <c r="E29" s="10"/>
      <c r="F29" s="11"/>
    </row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>
      <c r="E47" s="12" t="s">
        <v>25</v>
      </c>
    </row>
    <row r="48" ht="14.25" customHeight="1">
      <c r="A48" s="13" t="s">
        <v>10</v>
      </c>
      <c r="B48" s="14" t="s">
        <v>26</v>
      </c>
      <c r="C48" s="14" t="s">
        <v>27</v>
      </c>
      <c r="D48" s="14" t="s">
        <v>28</v>
      </c>
      <c r="E48" s="14" t="s">
        <v>29</v>
      </c>
      <c r="F48" s="14" t="s">
        <v>15</v>
      </c>
      <c r="G48" s="14" t="s">
        <v>30</v>
      </c>
      <c r="H48" s="14" t="s">
        <v>31</v>
      </c>
      <c r="I48" s="14" t="s">
        <v>32</v>
      </c>
    </row>
    <row r="49" ht="14.25" customHeight="1">
      <c r="A49" s="15">
        <v>1.0</v>
      </c>
      <c r="B49" s="16" t="s">
        <v>19</v>
      </c>
      <c r="C49" s="16">
        <v>741.0</v>
      </c>
      <c r="D49" s="16">
        <v>399.0</v>
      </c>
      <c r="E49" s="16">
        <v>68.0</v>
      </c>
      <c r="F49" s="17">
        <f t="shared" ref="F49:F54" si="11">SUM(C49:E49)/SUM(C$49:E$49)</f>
        <v>1</v>
      </c>
      <c r="G49" s="17">
        <f t="shared" ref="G49:G54" si="12">C49/$C$49</f>
        <v>1</v>
      </c>
      <c r="H49" s="17">
        <f t="shared" ref="H49:I49" si="10">D49/D$49</f>
        <v>1</v>
      </c>
      <c r="I49" s="17">
        <f t="shared" si="10"/>
        <v>1</v>
      </c>
    </row>
    <row r="50" ht="14.25" customHeight="1">
      <c r="A50" s="18">
        <v>2.0</v>
      </c>
      <c r="B50" s="19" t="s">
        <v>20</v>
      </c>
      <c r="C50" s="19">
        <v>192.0</v>
      </c>
      <c r="D50" s="19">
        <v>103.0</v>
      </c>
      <c r="E50" s="19">
        <v>25.0</v>
      </c>
      <c r="F50" s="17">
        <f t="shared" si="11"/>
        <v>0.2649006623</v>
      </c>
      <c r="G50" s="17">
        <f t="shared" si="12"/>
        <v>0.2591093117</v>
      </c>
      <c r="H50" s="17">
        <f t="shared" ref="H50:I50" si="13">D50/D$49</f>
        <v>0.2581453634</v>
      </c>
      <c r="I50" s="17">
        <f t="shared" si="13"/>
        <v>0.3676470588</v>
      </c>
    </row>
    <row r="51" ht="14.25" customHeight="1">
      <c r="A51" s="20">
        <v>3.0</v>
      </c>
      <c r="B51" s="21" t="s">
        <v>21</v>
      </c>
      <c r="C51" s="21">
        <v>42.0</v>
      </c>
      <c r="D51" s="21">
        <v>23.0</v>
      </c>
      <c r="E51" s="21">
        <v>7.0</v>
      </c>
      <c r="F51" s="17">
        <f t="shared" si="11"/>
        <v>0.05960264901</v>
      </c>
      <c r="G51" s="17">
        <f t="shared" si="12"/>
        <v>0.05668016194</v>
      </c>
      <c r="H51" s="17">
        <f t="shared" ref="H51:I51" si="14">D51/D$49</f>
        <v>0.05764411028</v>
      </c>
      <c r="I51" s="17">
        <f t="shared" si="14"/>
        <v>0.1029411765</v>
      </c>
    </row>
    <row r="52" ht="14.25" customHeight="1">
      <c r="A52" s="18">
        <v>4.0</v>
      </c>
      <c r="B52" s="19" t="s">
        <v>22</v>
      </c>
      <c r="C52" s="19">
        <v>15.0</v>
      </c>
      <c r="D52" s="19">
        <v>11.0</v>
      </c>
      <c r="E52" s="19">
        <v>4.0</v>
      </c>
      <c r="F52" s="17">
        <f t="shared" si="11"/>
        <v>0.02483443709</v>
      </c>
      <c r="G52" s="17">
        <f t="shared" si="12"/>
        <v>0.02024291498</v>
      </c>
      <c r="H52" s="17">
        <f t="shared" ref="H52:I52" si="15">D52/D$49</f>
        <v>0.02756892231</v>
      </c>
      <c r="I52" s="17">
        <f t="shared" si="15"/>
        <v>0.05882352941</v>
      </c>
    </row>
    <row r="53" ht="14.25" customHeight="1">
      <c r="A53" s="20">
        <v>5.0</v>
      </c>
      <c r="B53" s="21" t="s">
        <v>23</v>
      </c>
      <c r="C53" s="21">
        <v>9.0</v>
      </c>
      <c r="D53" s="21">
        <v>7.0</v>
      </c>
      <c r="E53" s="21">
        <v>3.0</v>
      </c>
      <c r="F53" s="17">
        <f t="shared" si="11"/>
        <v>0.01572847682</v>
      </c>
      <c r="G53" s="17">
        <f t="shared" si="12"/>
        <v>0.01214574899</v>
      </c>
      <c r="H53" s="17">
        <f t="shared" ref="H53:I53" si="16">D53/D$49</f>
        <v>0.01754385965</v>
      </c>
      <c r="I53" s="17">
        <f t="shared" si="16"/>
        <v>0.04411764706</v>
      </c>
    </row>
    <row r="54" ht="14.25" customHeight="1">
      <c r="A54" s="18">
        <v>6.0</v>
      </c>
      <c r="B54" s="19" t="s">
        <v>24</v>
      </c>
      <c r="C54" s="19">
        <v>3.0</v>
      </c>
      <c r="D54" s="19">
        <v>1.0</v>
      </c>
      <c r="E54" s="19">
        <v>0.0</v>
      </c>
      <c r="F54" s="22">
        <f t="shared" si="11"/>
        <v>0.003311258278</v>
      </c>
      <c r="G54" s="22">
        <f t="shared" si="12"/>
        <v>0.004048582996</v>
      </c>
      <c r="H54" s="17">
        <f t="shared" ref="H54:I54" si="17">D54/D$49</f>
        <v>0.002506265664</v>
      </c>
      <c r="I54" s="17">
        <f t="shared" si="17"/>
        <v>0</v>
      </c>
    </row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  <tableParts count="2">
    <tablePart r:id="rId4"/>
    <tablePart r:id="rId5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2.63" defaultRowHeight="15.0"/>
  <cols>
    <col customWidth="1" min="1" max="1" width="8.63"/>
    <col customWidth="1" min="2" max="2" width="15.5"/>
    <col customWidth="1" min="3" max="3" width="14.0"/>
    <col customWidth="1" min="4" max="4" width="18.63"/>
    <col customWidth="1" min="5" max="5" width="26.5"/>
    <col customWidth="1" min="6" max="6" width="17.5"/>
    <col customWidth="1" min="7" max="7" width="15.63"/>
    <col customWidth="1" min="8" max="26" width="8.63"/>
  </cols>
  <sheetData>
    <row r="1" ht="14.25" customHeight="1"/>
    <row r="2" ht="14.25" customHeight="1">
      <c r="A2" s="23" t="s">
        <v>33</v>
      </c>
      <c r="B2" s="12"/>
      <c r="C2" s="12"/>
      <c r="D2" s="12"/>
      <c r="E2" s="12"/>
    </row>
    <row r="3" ht="14.25" customHeight="1">
      <c r="B3" s="24" t="s">
        <v>34</v>
      </c>
    </row>
    <row r="4" ht="14.25" customHeight="1">
      <c r="B4" s="25" t="s">
        <v>35</v>
      </c>
      <c r="C4" s="25"/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  <c r="P4" s="25"/>
      <c r="Q4" s="25"/>
      <c r="R4" s="25"/>
      <c r="S4" s="25"/>
      <c r="T4" s="25"/>
    </row>
    <row r="5" ht="14.25" customHeight="1"/>
    <row r="6" ht="14.25" customHeight="1">
      <c r="B6" s="26" t="s">
        <v>36</v>
      </c>
      <c r="C6" s="26" t="s">
        <v>37</v>
      </c>
      <c r="D6" s="26" t="s">
        <v>38</v>
      </c>
      <c r="E6" s="26" t="s">
        <v>39</v>
      </c>
      <c r="F6" s="26" t="s">
        <v>40</v>
      </c>
      <c r="G6" s="26" t="s">
        <v>41</v>
      </c>
    </row>
    <row r="7" ht="14.25" customHeight="1">
      <c r="B7" s="27" t="s">
        <v>4</v>
      </c>
      <c r="C7" s="28">
        <v>1208.0</v>
      </c>
      <c r="D7" s="29">
        <v>1.0</v>
      </c>
      <c r="E7" s="2"/>
      <c r="F7" s="3">
        <v>1.0</v>
      </c>
      <c r="G7" s="27" t="s">
        <v>42</v>
      </c>
    </row>
    <row r="8" ht="14.25" customHeight="1">
      <c r="B8" s="27" t="s">
        <v>5</v>
      </c>
      <c r="C8" s="27">
        <v>320.0</v>
      </c>
      <c r="D8" s="29">
        <v>0.26</v>
      </c>
      <c r="E8" s="30">
        <v>0.74</v>
      </c>
      <c r="F8" s="3">
        <f>Sheet2!$C8/$C7</f>
        <v>0.2649006623</v>
      </c>
      <c r="G8" s="31" t="s">
        <v>43</v>
      </c>
    </row>
    <row r="9" ht="14.25" customHeight="1">
      <c r="B9" s="27" t="s">
        <v>6</v>
      </c>
      <c r="C9" s="27">
        <v>72.0</v>
      </c>
      <c r="D9" s="29">
        <v>0.06</v>
      </c>
      <c r="E9" s="30">
        <v>0.94</v>
      </c>
      <c r="F9" s="4">
        <f>Sheet2!$C9/$C8</f>
        <v>0.225</v>
      </c>
      <c r="G9" s="31" t="s">
        <v>44</v>
      </c>
    </row>
    <row r="10" ht="14.25" customHeight="1">
      <c r="B10" s="27" t="s">
        <v>7</v>
      </c>
      <c r="C10" s="27">
        <v>30.0</v>
      </c>
      <c r="D10" s="29">
        <v>0.02</v>
      </c>
      <c r="E10" s="30">
        <v>0.98</v>
      </c>
      <c r="F10" s="4">
        <f>Sheet2!$C10/$C9</f>
        <v>0.4166666667</v>
      </c>
      <c r="G10" s="31" t="s">
        <v>45</v>
      </c>
    </row>
    <row r="11" ht="14.25" customHeight="1">
      <c r="B11" s="27" t="s">
        <v>8</v>
      </c>
      <c r="C11" s="27">
        <v>4.0</v>
      </c>
      <c r="D11" s="32">
        <v>0.0033</v>
      </c>
      <c r="E11" s="33">
        <v>0.9967</v>
      </c>
      <c r="F11" s="4">
        <f>Sheet2!$C11/$C10</f>
        <v>0.1333333333</v>
      </c>
      <c r="G11" s="31" t="s">
        <v>46</v>
      </c>
    </row>
    <row r="12" ht="14.25" customHeight="1"/>
    <row r="13" ht="14.25" customHeight="1">
      <c r="B13" s="24"/>
    </row>
    <row r="14" ht="14.25" customHeight="1">
      <c r="B14" s="34" t="s">
        <v>47</v>
      </c>
    </row>
    <row r="15" ht="14.25" customHeight="1">
      <c r="B15" s="35"/>
    </row>
    <row r="16" ht="14.25" customHeight="1">
      <c r="B16" s="36" t="s">
        <v>48</v>
      </c>
    </row>
    <row r="17" ht="14.25" customHeight="1">
      <c r="B17" s="37" t="s">
        <v>49</v>
      </c>
    </row>
    <row r="18" ht="14.25" customHeight="1">
      <c r="B18" s="37" t="s">
        <v>50</v>
      </c>
    </row>
    <row r="19" ht="14.25" customHeight="1">
      <c r="B19" s="37" t="s">
        <v>51</v>
      </c>
    </row>
    <row r="20" ht="14.25" customHeight="1">
      <c r="B20" s="38" t="s">
        <v>52</v>
      </c>
    </row>
    <row r="21" ht="14.25" customHeight="1">
      <c r="B21" s="37" t="s">
        <v>53</v>
      </c>
    </row>
    <row r="22" ht="14.25" customHeight="1">
      <c r="B22" s="37"/>
    </row>
    <row r="23" ht="14.25" customHeight="1">
      <c r="B23" s="35" t="s">
        <v>54</v>
      </c>
    </row>
    <row r="24" ht="14.25" customHeight="1">
      <c r="B24" s="37" t="s">
        <v>55</v>
      </c>
    </row>
    <row r="25" ht="14.25" customHeight="1">
      <c r="B25" s="38" t="s">
        <v>56</v>
      </c>
    </row>
    <row r="26" ht="14.25" customHeight="1">
      <c r="B26" s="37" t="s">
        <v>57</v>
      </c>
    </row>
    <row r="27" ht="14.25" customHeight="1">
      <c r="B27" s="39" t="s">
        <v>58</v>
      </c>
    </row>
    <row r="28" ht="14.25" customHeight="1">
      <c r="B28" s="37" t="s">
        <v>59</v>
      </c>
    </row>
    <row r="29" ht="14.25" customHeight="1">
      <c r="B29" s="38" t="s">
        <v>52</v>
      </c>
    </row>
    <row r="30" ht="14.25" customHeight="1">
      <c r="B30" s="37" t="s">
        <v>60</v>
      </c>
    </row>
    <row r="31" ht="14.25" customHeight="1"/>
    <row r="32" ht="14.25" customHeight="1">
      <c r="B32" s="35" t="s">
        <v>61</v>
      </c>
    </row>
    <row r="33" ht="14.25" customHeight="1">
      <c r="B33" s="37" t="s">
        <v>62</v>
      </c>
    </row>
    <row r="34" ht="14.25" customHeight="1">
      <c r="B34" s="39" t="s">
        <v>63</v>
      </c>
    </row>
    <row r="35" ht="14.25" customHeight="1">
      <c r="B35" s="37" t="s">
        <v>64</v>
      </c>
    </row>
    <row r="36" ht="14.25" customHeight="1">
      <c r="B36" s="37" t="s">
        <v>65</v>
      </c>
    </row>
    <row r="37" ht="14.25" customHeight="1">
      <c r="B37" s="38" t="s">
        <v>52</v>
      </c>
    </row>
    <row r="38" ht="14.25" customHeight="1">
      <c r="B38" s="37" t="s">
        <v>66</v>
      </c>
    </row>
    <row r="39" ht="14.25" customHeight="1">
      <c r="B39" s="37"/>
    </row>
    <row r="40" ht="14.25" customHeight="1">
      <c r="B40" s="35" t="s">
        <v>67</v>
      </c>
    </row>
    <row r="41" ht="14.25" customHeight="1">
      <c r="B41" s="37" t="s">
        <v>68</v>
      </c>
    </row>
    <row r="42" ht="14.25" customHeight="1">
      <c r="B42" s="37" t="s">
        <v>69</v>
      </c>
    </row>
    <row r="43" ht="14.25" customHeight="1">
      <c r="B43" s="37" t="s">
        <v>70</v>
      </c>
    </row>
    <row r="44" ht="14.25" customHeight="1">
      <c r="B44" s="37" t="s">
        <v>71</v>
      </c>
    </row>
    <row r="45" ht="14.25" customHeight="1">
      <c r="B45" s="37" t="s">
        <v>72</v>
      </c>
    </row>
    <row r="46" ht="14.25" customHeight="1">
      <c r="B46" s="38" t="s">
        <v>52</v>
      </c>
    </row>
    <row r="47" ht="14.25" customHeight="1">
      <c r="B47" s="37" t="s">
        <v>73</v>
      </c>
    </row>
    <row r="48" ht="14.25" customHeight="1">
      <c r="B48" s="37"/>
    </row>
    <row r="49" ht="14.25" customHeight="1">
      <c r="B49" s="24" t="s">
        <v>74</v>
      </c>
    </row>
    <row r="50" ht="14.25" customHeight="1">
      <c r="B50" s="38" t="s">
        <v>75</v>
      </c>
    </row>
    <row r="51" ht="14.25" customHeight="1">
      <c r="B51" s="37" t="s">
        <v>76</v>
      </c>
    </row>
    <row r="52" ht="14.25" customHeight="1">
      <c r="B52" s="37" t="s">
        <v>77</v>
      </c>
    </row>
    <row r="53" ht="14.25" customHeight="1">
      <c r="B53" s="38" t="s">
        <v>78</v>
      </c>
    </row>
    <row r="54" ht="14.25" customHeight="1">
      <c r="B54" s="37" t="s">
        <v>79</v>
      </c>
    </row>
    <row r="55" ht="14.25" customHeight="1">
      <c r="B55" s="37" t="s">
        <v>80</v>
      </c>
    </row>
    <row r="56" ht="14.25" customHeight="1">
      <c r="B56" s="38" t="s">
        <v>81</v>
      </c>
    </row>
    <row r="57" ht="14.25" customHeight="1">
      <c r="B57" s="37" t="s">
        <v>82</v>
      </c>
    </row>
    <row r="58" ht="14.25" customHeight="1">
      <c r="B58" s="37" t="s">
        <v>83</v>
      </c>
    </row>
    <row r="59" ht="14.25" customHeight="1">
      <c r="B59" s="38" t="s">
        <v>84</v>
      </c>
    </row>
    <row r="60" ht="14.25" customHeight="1">
      <c r="B60" s="37" t="s">
        <v>85</v>
      </c>
    </row>
    <row r="61" ht="14.25" customHeight="1">
      <c r="B61" s="37"/>
    </row>
    <row r="62" ht="14.25" customHeight="1">
      <c r="B62" s="38" t="s">
        <v>86</v>
      </c>
    </row>
    <row r="63" ht="14.25" customHeight="1">
      <c r="B63" s="39" t="s">
        <v>87</v>
      </c>
    </row>
    <row r="64" ht="14.25" customHeight="1">
      <c r="B64" s="37" t="s">
        <v>88</v>
      </c>
    </row>
    <row r="65" ht="14.25" customHeight="1">
      <c r="B65" s="37" t="s">
        <v>89</v>
      </c>
    </row>
    <row r="66" ht="14.25" customHeight="1">
      <c r="B66" s="37"/>
    </row>
    <row r="67" ht="14.25" customHeight="1">
      <c r="B67" s="39" t="s">
        <v>90</v>
      </c>
    </row>
    <row r="68" ht="14.25" customHeight="1">
      <c r="B68" s="37" t="s">
        <v>91</v>
      </c>
    </row>
    <row r="69" ht="14.25" customHeight="1">
      <c r="B69" s="37" t="s">
        <v>92</v>
      </c>
    </row>
    <row r="70" ht="14.25" customHeight="1">
      <c r="B70" s="37"/>
    </row>
    <row r="71" ht="14.25" customHeight="1">
      <c r="B71" s="39" t="s">
        <v>93</v>
      </c>
    </row>
    <row r="72" ht="14.25" customHeight="1">
      <c r="B72" s="37" t="s">
        <v>94</v>
      </c>
    </row>
    <row r="73" ht="14.25" customHeight="1">
      <c r="B73" s="37"/>
    </row>
    <row r="74" ht="14.25" customHeight="1"/>
    <row r="75" ht="14.25" customHeight="1">
      <c r="B75" s="12"/>
    </row>
    <row r="76" ht="14.25" customHeight="1">
      <c r="B76" s="37"/>
    </row>
    <row r="77" ht="14.25" customHeight="1">
      <c r="B77" s="37"/>
    </row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  <tableParts count="1">
    <tablePart r:id="rId3"/>
  </tableParts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2025-06-26T16:10:07Z</dcterms:created>
</cp:coreProperties>
</file>